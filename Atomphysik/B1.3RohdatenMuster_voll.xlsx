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96f3d1f0fc52be/Documents/Uni/Praktikum/Praktikum_B/Atomphysik/"/>
    </mc:Choice>
  </mc:AlternateContent>
  <xr:revisionPtr revIDLastSave="0" documentId="8_{617F6CF7-8ACF-40F3-B1D6-BB36968899D8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Rohdat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L22" i="1"/>
  <c r="K22" i="1"/>
  <c r="J22" i="1"/>
  <c r="I22" i="1"/>
  <c r="H22" i="1"/>
  <c r="G22" i="1"/>
  <c r="F22" i="1"/>
  <c r="E22" i="1"/>
  <c r="D22" i="1"/>
  <c r="M21" i="1"/>
  <c r="L21" i="1"/>
  <c r="K21" i="1"/>
  <c r="J21" i="1"/>
  <c r="I21" i="1"/>
  <c r="H21" i="1"/>
  <c r="G21" i="1"/>
  <c r="F21" i="1"/>
  <c r="E21" i="1"/>
  <c r="D21" i="1"/>
  <c r="M20" i="1"/>
  <c r="L20" i="1"/>
  <c r="K20" i="1"/>
  <c r="J20" i="1"/>
  <c r="I20" i="1"/>
  <c r="H20" i="1"/>
  <c r="G20" i="1"/>
  <c r="F20" i="1"/>
  <c r="E20" i="1"/>
  <c r="D20" i="1"/>
  <c r="M19" i="1"/>
  <c r="L19" i="1"/>
  <c r="K19" i="1"/>
  <c r="J19" i="1"/>
  <c r="I19" i="1"/>
  <c r="H19" i="1"/>
  <c r="G19" i="1"/>
  <c r="F19" i="1"/>
  <c r="E19" i="1"/>
  <c r="D19" i="1"/>
  <c r="M18" i="1"/>
  <c r="L18" i="1"/>
  <c r="K18" i="1"/>
  <c r="J18" i="1"/>
  <c r="I18" i="1"/>
  <c r="H18" i="1"/>
  <c r="G18" i="1"/>
  <c r="F18" i="1"/>
  <c r="E18" i="1"/>
  <c r="D18" i="1"/>
  <c r="M17" i="1"/>
  <c r="L17" i="1"/>
  <c r="K17" i="1"/>
  <c r="J17" i="1"/>
  <c r="I17" i="1"/>
  <c r="H17" i="1"/>
  <c r="G17" i="1"/>
  <c r="F17" i="1"/>
  <c r="E17" i="1"/>
  <c r="D17" i="1"/>
  <c r="M16" i="1"/>
  <c r="L16" i="1"/>
  <c r="K16" i="1"/>
  <c r="J16" i="1"/>
  <c r="I16" i="1"/>
  <c r="H16" i="1"/>
  <c r="G16" i="1"/>
  <c r="F16" i="1"/>
  <c r="E16" i="1"/>
  <c r="D16" i="1"/>
  <c r="M15" i="1"/>
  <c r="L15" i="1"/>
  <c r="K15" i="1"/>
  <c r="J15" i="1"/>
  <c r="I15" i="1"/>
  <c r="H15" i="1"/>
  <c r="G15" i="1"/>
  <c r="F15" i="1"/>
  <c r="E15" i="1"/>
  <c r="D15" i="1"/>
  <c r="M14" i="1"/>
  <c r="L14" i="1"/>
  <c r="K14" i="1"/>
  <c r="J14" i="1"/>
  <c r="I14" i="1"/>
  <c r="H14" i="1"/>
  <c r="G14" i="1"/>
  <c r="F14" i="1"/>
  <c r="E14" i="1"/>
  <c r="D14" i="1"/>
  <c r="M13" i="1"/>
  <c r="L13" i="1"/>
  <c r="K13" i="1"/>
  <c r="J13" i="1"/>
  <c r="I13" i="1"/>
  <c r="H13" i="1"/>
  <c r="G13" i="1"/>
  <c r="F13" i="1"/>
  <c r="E13" i="1"/>
  <c r="D13" i="1"/>
  <c r="M12" i="1"/>
  <c r="L12" i="1"/>
  <c r="K12" i="1"/>
  <c r="J12" i="1"/>
  <c r="I12" i="1"/>
  <c r="H12" i="1"/>
  <c r="G12" i="1"/>
  <c r="F12" i="1"/>
  <c r="E12" i="1"/>
  <c r="D12" i="1"/>
  <c r="M11" i="1"/>
  <c r="L11" i="1"/>
  <c r="K11" i="1"/>
  <c r="J11" i="1"/>
  <c r="I11" i="1"/>
  <c r="H11" i="1"/>
  <c r="G11" i="1"/>
  <c r="F11" i="1"/>
  <c r="E11" i="1"/>
  <c r="D11" i="1"/>
  <c r="M10" i="1"/>
  <c r="L10" i="1"/>
  <c r="K10" i="1"/>
  <c r="J10" i="1"/>
  <c r="I10" i="1"/>
  <c r="H10" i="1"/>
  <c r="G10" i="1"/>
  <c r="F10" i="1"/>
  <c r="E10" i="1"/>
  <c r="D10" i="1"/>
  <c r="M9" i="1"/>
  <c r="L9" i="1"/>
  <c r="K9" i="1"/>
  <c r="J9" i="1"/>
  <c r="I9" i="1"/>
  <c r="H9" i="1"/>
  <c r="G9" i="1"/>
  <c r="F9" i="1"/>
  <c r="E9" i="1"/>
  <c r="D9" i="1"/>
  <c r="M8" i="1"/>
  <c r="L8" i="1"/>
  <c r="K8" i="1"/>
  <c r="J8" i="1"/>
  <c r="I8" i="1"/>
  <c r="H8" i="1"/>
  <c r="G8" i="1"/>
  <c r="F8" i="1"/>
  <c r="E8" i="1"/>
  <c r="D8" i="1"/>
  <c r="M7" i="1"/>
  <c r="L7" i="1"/>
  <c r="K7" i="1"/>
  <c r="J7" i="1"/>
  <c r="I7" i="1"/>
  <c r="H7" i="1"/>
  <c r="G7" i="1"/>
  <c r="F7" i="1"/>
  <c r="E7" i="1"/>
  <c r="D7" i="1"/>
  <c r="M6" i="1"/>
  <c r="L6" i="1"/>
  <c r="K6" i="1"/>
  <c r="J6" i="1"/>
  <c r="I6" i="1"/>
  <c r="H6" i="1"/>
  <c r="G6" i="1"/>
  <c r="F6" i="1"/>
  <c r="E6" i="1"/>
  <c r="D6" i="1"/>
  <c r="M5" i="1"/>
  <c r="L5" i="1"/>
  <c r="K5" i="1"/>
  <c r="J5" i="1"/>
  <c r="I5" i="1"/>
  <c r="H5" i="1"/>
  <c r="G5" i="1"/>
  <c r="F5" i="1"/>
  <c r="E5" i="1"/>
  <c r="D5" i="1"/>
  <c r="M4" i="1"/>
  <c r="L4" i="1"/>
  <c r="K4" i="1"/>
  <c r="J4" i="1"/>
  <c r="I4" i="1"/>
  <c r="H4" i="1"/>
  <c r="G4" i="1"/>
  <c r="F4" i="1"/>
  <c r="E4" i="1"/>
  <c r="D4" i="1"/>
  <c r="M3" i="1"/>
  <c r="L3" i="1"/>
  <c r="K3" i="1"/>
  <c r="J3" i="1"/>
  <c r="I3" i="1"/>
  <c r="H3" i="1"/>
  <c r="G3" i="1"/>
  <c r="F3" i="1"/>
  <c r="E3" i="1"/>
  <c r="D3" i="1"/>
</calcChain>
</file>

<file path=xl/sharedStrings.xml><?xml version="1.0" encoding="utf-8"?>
<sst xmlns="http://schemas.openxmlformats.org/spreadsheetml/2006/main" count="6" uniqueCount="6">
  <si>
    <t>Tropfen</t>
  </si>
  <si>
    <t>Spannung [V]</t>
  </si>
  <si>
    <t>Frames Sinken</t>
  </si>
  <si>
    <t>Frames Steigen</t>
  </si>
  <si>
    <t>Wert</t>
  </si>
  <si>
    <t>Fehler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</si>
</sst>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7];[Red]&quot;-&quot;#,##0.00&quot; &quot;[$€-407]"/>
  </numFmts>
  <fonts count="3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3">
    <xf numFmtId="0" fontId="0" fillId="0" borderId="0" xfId="0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5">
    <cellStyle name="Heading" xfId="1" xr:uid="{00000000-0005-0000-0000-000000000000}"/>
    <cellStyle name="Heading1" xfId="2" xr:uid="{00000000-0005-0000-0000-000001000000}"/>
    <cellStyle name="Result" xfId="3" xr:uid="{00000000-0005-0000-0000-000002000000}"/>
    <cellStyle name="Result2" xfId="4" xr:uid="{00000000-0005-0000-0000-000003000000}"/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C23" sqref="C23"/>
    </sheetView>
  </sheetViews>
  <sheetFormatPr baseColWidth="10" defaultRowHeight="13.5" x14ac:dyDescent="0.35"/>
  <cols>
    <col min="1" max="1" width="10.6875" customWidth="1"/>
    <col min="2" max="2" width="6.9375" customWidth="1"/>
    <col min="3" max="3" width="6.3125" customWidth="1"/>
    <col min="4" max="13" width="5.25" customWidth="1"/>
  </cols>
  <sheetData>
    <row r="1" spans="1:13" x14ac:dyDescent="0.35">
      <c r="A1" s="11" t="s">
        <v>0</v>
      </c>
      <c r="B1" s="12" t="s">
        <v>1</v>
      </c>
      <c r="C1" s="12"/>
      <c r="D1" s="12" t="s">
        <v>2</v>
      </c>
      <c r="E1" s="12"/>
      <c r="F1" s="12"/>
      <c r="G1" s="12"/>
      <c r="H1" s="12"/>
      <c r="I1" s="12" t="s">
        <v>3</v>
      </c>
      <c r="J1" s="12"/>
      <c r="K1" s="12"/>
      <c r="L1" s="12"/>
      <c r="M1" s="12"/>
    </row>
    <row r="2" spans="1:13" x14ac:dyDescent="0.35">
      <c r="A2" s="11"/>
      <c r="B2" s="1" t="s">
        <v>4</v>
      </c>
      <c r="C2" s="2" t="s">
        <v>5</v>
      </c>
      <c r="D2" s="1">
        <v>1</v>
      </c>
      <c r="E2" s="3">
        <v>2</v>
      </c>
      <c r="F2" s="3">
        <v>3</v>
      </c>
      <c r="G2" s="3">
        <v>4</v>
      </c>
      <c r="H2" s="2">
        <v>5</v>
      </c>
      <c r="I2" s="1">
        <v>1</v>
      </c>
      <c r="J2" s="3">
        <v>2</v>
      </c>
      <c r="K2" s="3">
        <v>3</v>
      </c>
      <c r="L2" s="3">
        <v>4</v>
      </c>
      <c r="M2" s="2">
        <v>5</v>
      </c>
    </row>
    <row r="3" spans="1:13" x14ac:dyDescent="0.35">
      <c r="A3" s="4">
        <v>1</v>
      </c>
      <c r="B3">
        <v>459</v>
      </c>
      <c r="C3">
        <v>1</v>
      </c>
      <c r="D3" s="5">
        <f>767-915</f>
        <v>-148</v>
      </c>
      <c r="E3">
        <f>1111-1236</f>
        <v>-125</v>
      </c>
      <c r="F3">
        <f>1427-1555</f>
        <v>-128</v>
      </c>
      <c r="G3">
        <f>1750-1881</f>
        <v>-131</v>
      </c>
      <c r="H3" s="6">
        <f>2077-2207</f>
        <v>-130</v>
      </c>
      <c r="I3" s="5">
        <f>915-1103</f>
        <v>-188</v>
      </c>
      <c r="J3">
        <f>1243-1420</f>
        <v>-177</v>
      </c>
      <c r="K3">
        <f>1562-1738</f>
        <v>-176</v>
      </c>
      <c r="L3">
        <f>1890-2070</f>
        <v>-180</v>
      </c>
      <c r="M3" s="6">
        <f>2217-2394</f>
        <v>-177</v>
      </c>
    </row>
    <row r="4" spans="1:13" x14ac:dyDescent="0.35">
      <c r="A4" s="4">
        <v>2</v>
      </c>
      <c r="B4">
        <v>459</v>
      </c>
      <c r="C4">
        <v>1</v>
      </c>
      <c r="D4" s="5">
        <f>785-908</f>
        <v>-123</v>
      </c>
      <c r="E4">
        <f>1093-1210</f>
        <v>-117</v>
      </c>
      <c r="F4">
        <f>1392-1509</f>
        <v>-117</v>
      </c>
      <c r="G4">
        <f>1679-1791</f>
        <v>-112</v>
      </c>
      <c r="H4" s="6">
        <f>1961-2080</f>
        <v>-119</v>
      </c>
      <c r="I4" s="5">
        <f>928-1076</f>
        <v>-148</v>
      </c>
      <c r="J4">
        <f>1232-1378</f>
        <v>-146</v>
      </c>
      <c r="K4">
        <f>1517-1667</f>
        <v>-150</v>
      </c>
      <c r="L4">
        <f>1800-1947</f>
        <v>-147</v>
      </c>
      <c r="M4" s="6">
        <f>2084-2229</f>
        <v>-145</v>
      </c>
    </row>
    <row r="5" spans="1:13" x14ac:dyDescent="0.35">
      <c r="A5" s="4">
        <v>3</v>
      </c>
      <c r="B5">
        <v>459</v>
      </c>
      <c r="C5">
        <v>1</v>
      </c>
      <c r="D5" s="5">
        <f>3540-3638</f>
        <v>-98</v>
      </c>
      <c r="E5">
        <f>3776-3873</f>
        <v>-97</v>
      </c>
      <c r="F5">
        <f>4002-4098</f>
        <v>-96</v>
      </c>
      <c r="G5">
        <f>4231-4324</f>
        <v>-93</v>
      </c>
      <c r="H5" s="6">
        <f>4446-4539</f>
        <v>-93</v>
      </c>
      <c r="I5" s="5">
        <f>3651-3762</f>
        <v>-111</v>
      </c>
      <c r="J5">
        <f>3879-3987</f>
        <v>-108</v>
      </c>
      <c r="K5">
        <f>4113-4221</f>
        <v>-108</v>
      </c>
      <c r="L5">
        <f>4332-4441</f>
        <v>-109</v>
      </c>
      <c r="M5" s="6">
        <f>4552-4659</f>
        <v>-107</v>
      </c>
    </row>
    <row r="6" spans="1:13" x14ac:dyDescent="0.35">
      <c r="A6" s="4">
        <v>4</v>
      </c>
      <c r="B6">
        <v>459</v>
      </c>
      <c r="C6">
        <v>1</v>
      </c>
      <c r="D6" s="5">
        <f>1382-1488</f>
        <v>-106</v>
      </c>
      <c r="E6">
        <f>1717-1822</f>
        <v>-105</v>
      </c>
      <c r="F6">
        <f>1979-2084</f>
        <v>-105</v>
      </c>
      <c r="G6">
        <f>2240-2344</f>
        <v>-104</v>
      </c>
      <c r="H6" s="6">
        <f>2500-2603</f>
        <v>-103</v>
      </c>
      <c r="I6" s="5">
        <f>1501-1627</f>
        <v>-126</v>
      </c>
      <c r="J6">
        <f>1832-1960</f>
        <v>-128</v>
      </c>
      <c r="K6">
        <f>2097-2223</f>
        <v>-126</v>
      </c>
      <c r="L6">
        <f>2355-2482</f>
        <v>-127</v>
      </c>
      <c r="M6" s="6">
        <f>2614-2739</f>
        <v>-125</v>
      </c>
    </row>
    <row r="7" spans="1:13" x14ac:dyDescent="0.35">
      <c r="A7" s="4">
        <v>5</v>
      </c>
      <c r="B7">
        <v>459</v>
      </c>
      <c r="C7">
        <v>1</v>
      </c>
      <c r="D7" s="5">
        <f>1481-1595</f>
        <v>-114</v>
      </c>
      <c r="E7">
        <f>1753-1866</f>
        <v>-113</v>
      </c>
      <c r="F7">
        <f>2008-2117</f>
        <v>-109</v>
      </c>
      <c r="G7">
        <f>2274-2386</f>
        <v>-112</v>
      </c>
      <c r="H7" s="6">
        <f>2544-2655</f>
        <v>-111</v>
      </c>
      <c r="I7" s="5">
        <f>1603-1738</f>
        <v>-135</v>
      </c>
      <c r="J7">
        <f>1866-1999</f>
        <v>-133</v>
      </c>
      <c r="K7">
        <f>2124-2259</f>
        <v>-135</v>
      </c>
      <c r="L7">
        <f>2394-2533</f>
        <v>-139</v>
      </c>
      <c r="M7" s="6">
        <f>2666-2801</f>
        <v>-135</v>
      </c>
    </row>
    <row r="8" spans="1:13" x14ac:dyDescent="0.35">
      <c r="A8" s="4">
        <v>6</v>
      </c>
      <c r="B8">
        <v>459</v>
      </c>
      <c r="C8">
        <v>1</v>
      </c>
      <c r="D8" s="5">
        <f>572-717</f>
        <v>-145</v>
      </c>
      <c r="E8">
        <f>1059-1205</f>
        <v>-146</v>
      </c>
      <c r="F8">
        <f>1491-1635</f>
        <v>-144</v>
      </c>
      <c r="G8">
        <f>1915-2061</f>
        <v>-146</v>
      </c>
      <c r="H8" s="6">
        <f>2340-2485</f>
        <v>-145</v>
      </c>
      <c r="I8" s="5">
        <f>749-997</f>
        <v>-248</v>
      </c>
      <c r="J8">
        <f>1219-1472</f>
        <v>-253</v>
      </c>
      <c r="K8">
        <f>1655-1898</f>
        <v>-243</v>
      </c>
      <c r="L8">
        <f>2071-2322</f>
        <v>-251</v>
      </c>
      <c r="M8" s="6">
        <f>2505-2769</f>
        <v>-264</v>
      </c>
    </row>
    <row r="9" spans="1:13" x14ac:dyDescent="0.35">
      <c r="A9" s="4">
        <v>7</v>
      </c>
      <c r="B9">
        <v>459</v>
      </c>
      <c r="C9">
        <v>1</v>
      </c>
      <c r="D9" s="5">
        <f>1594-1672</f>
        <v>-78</v>
      </c>
      <c r="E9">
        <f>1786-1862</f>
        <v>-76</v>
      </c>
      <c r="F9">
        <f>1979-2058</f>
        <v>-79</v>
      </c>
      <c r="G9">
        <f>2161-2240</f>
        <v>-79</v>
      </c>
      <c r="H9" s="6">
        <f>2346-2422</f>
        <v>-76</v>
      </c>
      <c r="I9" s="5">
        <f>1679-1776</f>
        <v>-97</v>
      </c>
      <c r="J9">
        <f>1873-1968</f>
        <v>-95</v>
      </c>
      <c r="K9">
        <f>2062-2161</f>
        <v>-99</v>
      </c>
      <c r="L9">
        <f>2240-2337</f>
        <v>-97</v>
      </c>
      <c r="M9" s="6">
        <f>2431-2528</f>
        <v>-97</v>
      </c>
    </row>
    <row r="10" spans="1:13" x14ac:dyDescent="0.35">
      <c r="A10" s="4">
        <v>8</v>
      </c>
      <c r="B10">
        <v>459</v>
      </c>
      <c r="C10">
        <v>1</v>
      </c>
      <c r="D10" s="5">
        <f>671-771</f>
        <v>-100</v>
      </c>
      <c r="E10">
        <f>931-1032</f>
        <v>-101</v>
      </c>
      <c r="F10">
        <f>1184-1289</f>
        <v>-105</v>
      </c>
      <c r="G10">
        <f>1445-1548</f>
        <v>-103</v>
      </c>
      <c r="H10" s="6">
        <f>1708-1810</f>
        <v>-102</v>
      </c>
      <c r="I10" s="5">
        <f>784-907</f>
        <v>-123</v>
      </c>
      <c r="J10">
        <f>1047-1170</f>
        <v>-123</v>
      </c>
      <c r="K10">
        <f>1304-1425</f>
        <v>-121</v>
      </c>
      <c r="L10">
        <f>1568-1694</f>
        <v>-126</v>
      </c>
      <c r="M10" s="6">
        <f>1827-1946</f>
        <v>-119</v>
      </c>
    </row>
    <row r="11" spans="1:13" x14ac:dyDescent="0.35">
      <c r="A11" s="4">
        <v>9</v>
      </c>
      <c r="B11">
        <v>459</v>
      </c>
      <c r="C11">
        <v>1</v>
      </c>
      <c r="D11" s="5">
        <f>675-725</f>
        <v>-50</v>
      </c>
      <c r="E11">
        <f>798-851</f>
        <v>-53</v>
      </c>
      <c r="F11">
        <f>920-971</f>
        <v>-51</v>
      </c>
      <c r="G11">
        <f>1536-1587</f>
        <v>-51</v>
      </c>
      <c r="H11" s="6">
        <f>1664-1715</f>
        <v>-51</v>
      </c>
      <c r="I11" s="5">
        <f>732-788</f>
        <v>-56</v>
      </c>
      <c r="J11">
        <f>856-912</f>
        <v>-56</v>
      </c>
      <c r="K11">
        <f>1472-1527</f>
        <v>-55</v>
      </c>
      <c r="L11">
        <f>1597-1652</f>
        <v>-55</v>
      </c>
      <c r="M11" s="6">
        <f>1719-1772</f>
        <v>-53</v>
      </c>
    </row>
    <row r="12" spans="1:13" x14ac:dyDescent="0.35">
      <c r="A12" s="4">
        <v>10</v>
      </c>
      <c r="B12">
        <v>459</v>
      </c>
      <c r="C12">
        <v>1</v>
      </c>
      <c r="D12" s="5">
        <f>1205-1313</f>
        <v>-108</v>
      </c>
      <c r="E12">
        <f>1491-1598</f>
        <v>-107</v>
      </c>
      <c r="F12">
        <f>1765-1876</f>
        <v>-111</v>
      </c>
      <c r="G12">
        <f>2036-2144</f>
        <v>-108</v>
      </c>
      <c r="H12" s="6">
        <f>2311-2417</f>
        <v>-106</v>
      </c>
      <c r="I12" s="5">
        <f>1330-1481</f>
        <v>-151</v>
      </c>
      <c r="J12">
        <f>1614-1749</f>
        <v>-135</v>
      </c>
      <c r="K12">
        <f>1886-2021</f>
        <v>-135</v>
      </c>
      <c r="L12">
        <f>2158-2293</f>
        <v>-135</v>
      </c>
      <c r="M12" s="6">
        <f>2431-2563</f>
        <v>-132</v>
      </c>
    </row>
    <row r="13" spans="1:13" x14ac:dyDescent="0.35">
      <c r="A13" s="4">
        <v>11</v>
      </c>
      <c r="B13">
        <v>459</v>
      </c>
      <c r="C13">
        <v>1</v>
      </c>
      <c r="D13" s="5">
        <f>1208-1363</f>
        <v>-155</v>
      </c>
      <c r="E13">
        <f>1782-1936</f>
        <v>-154</v>
      </c>
      <c r="F13">
        <f>2403-2558</f>
        <v>-155</v>
      </c>
      <c r="G13">
        <f>3002-3156</f>
        <v>-154</v>
      </c>
      <c r="H13" s="6">
        <f>3608-3756</f>
        <v>-148</v>
      </c>
      <c r="I13" s="5">
        <f>1377-1765</f>
        <v>-388</v>
      </c>
      <c r="J13">
        <f>1952-2381</f>
        <v>-429</v>
      </c>
      <c r="K13">
        <f>2584-3002</f>
        <v>-418</v>
      </c>
      <c r="L13">
        <f>3173-3584</f>
        <v>-411</v>
      </c>
      <c r="M13" s="6">
        <f>3778-4178</f>
        <v>-400</v>
      </c>
    </row>
    <row r="14" spans="1:13" x14ac:dyDescent="0.35">
      <c r="A14" s="4">
        <v>12</v>
      </c>
      <c r="B14">
        <v>459</v>
      </c>
      <c r="C14">
        <v>1</v>
      </c>
      <c r="D14" s="5">
        <f>420-485</f>
        <v>-65</v>
      </c>
      <c r="E14">
        <f>609-674</f>
        <v>-65</v>
      </c>
      <c r="F14">
        <f>798-864</f>
        <v>-66</v>
      </c>
      <c r="G14">
        <f>985-1052</f>
        <v>-67</v>
      </c>
      <c r="H14" s="6">
        <f>1172-1239</f>
        <v>-67</v>
      </c>
      <c r="I14" s="5">
        <f>495-594</f>
        <v>-99</v>
      </c>
      <c r="J14">
        <f>688-786</f>
        <v>-98</v>
      </c>
      <c r="K14">
        <f>879-972</f>
        <v>-93</v>
      </c>
      <c r="L14">
        <f>1065-1159</f>
        <v>-94</v>
      </c>
      <c r="M14" s="6">
        <f>1251-1344</f>
        <v>-93</v>
      </c>
    </row>
    <row r="15" spans="1:13" x14ac:dyDescent="0.35">
      <c r="A15" s="4">
        <v>13</v>
      </c>
      <c r="B15">
        <v>459</v>
      </c>
      <c r="C15">
        <v>1</v>
      </c>
      <c r="D15" s="5">
        <f>786-892</f>
        <v>-106</v>
      </c>
      <c r="E15">
        <f>1038-1143</f>
        <v>-105</v>
      </c>
      <c r="F15">
        <f>1297-1405</f>
        <v>-108</v>
      </c>
      <c r="G15">
        <f>1550-1655</f>
        <v>-105</v>
      </c>
      <c r="H15" s="6">
        <f>1800-1900</f>
        <v>-100</v>
      </c>
      <c r="I15" s="5">
        <f>893-1204</f>
        <v>-311</v>
      </c>
      <c r="J15">
        <f>1160-1287</f>
        <v>-127</v>
      </c>
      <c r="K15">
        <f>1418-1545</f>
        <v>-127</v>
      </c>
      <c r="L15">
        <f>1663-1792</f>
        <v>-129</v>
      </c>
      <c r="M15" s="6">
        <f>1919-2048</f>
        <v>-129</v>
      </c>
    </row>
    <row r="16" spans="1:13" x14ac:dyDescent="0.35">
      <c r="A16" s="4">
        <v>14</v>
      </c>
      <c r="B16">
        <v>459</v>
      </c>
      <c r="C16">
        <v>1</v>
      </c>
      <c r="D16" s="5">
        <f>788-896</f>
        <v>-108</v>
      </c>
      <c r="E16">
        <f>1061-1170</f>
        <v>-109</v>
      </c>
      <c r="F16">
        <f>1337-1448</f>
        <v>-111</v>
      </c>
      <c r="G16">
        <f>1612-1721</f>
        <v>-109</v>
      </c>
      <c r="H16" s="6">
        <f>1885-1995</f>
        <v>-110</v>
      </c>
      <c r="I16" s="5">
        <f>912-1048</f>
        <v>-136</v>
      </c>
      <c r="J16">
        <f>1179-1314</f>
        <v>-135</v>
      </c>
      <c r="K16">
        <f>1458-1592</f>
        <v>-134</v>
      </c>
      <c r="L16">
        <f>1739-1871</f>
        <v>-132</v>
      </c>
      <c r="M16" s="6">
        <f>2017-2156</f>
        <v>-139</v>
      </c>
    </row>
    <row r="17" spans="1:13" x14ac:dyDescent="0.35">
      <c r="A17" s="4">
        <v>15</v>
      </c>
      <c r="B17">
        <v>459</v>
      </c>
      <c r="C17">
        <v>1</v>
      </c>
      <c r="D17" s="5">
        <f>1061-1121</f>
        <v>-60</v>
      </c>
      <c r="E17">
        <f>1215-1276</f>
        <v>-61</v>
      </c>
      <c r="F17">
        <f>1370-1430</f>
        <v>-60</v>
      </c>
      <c r="G17">
        <f>1521-1582</f>
        <v>-61</v>
      </c>
      <c r="H17" s="6">
        <f>1679-1739</f>
        <v>-60</v>
      </c>
      <c r="I17" s="5">
        <f>1127-1208</f>
        <v>-81</v>
      </c>
      <c r="J17">
        <f>1284-1362</f>
        <v>-78</v>
      </c>
      <c r="K17">
        <f>1437-1515</f>
        <v>-78</v>
      </c>
      <c r="L17">
        <f>1591-1670</f>
        <v>-79</v>
      </c>
      <c r="M17" s="6">
        <f>1746-1825</f>
        <v>-79</v>
      </c>
    </row>
    <row r="18" spans="1:13" x14ac:dyDescent="0.35">
      <c r="A18" s="4">
        <v>16</v>
      </c>
      <c r="B18">
        <v>459</v>
      </c>
      <c r="C18">
        <v>1</v>
      </c>
      <c r="D18" s="5">
        <f>1229-1299</f>
        <v>-70</v>
      </c>
      <c r="E18">
        <f>1402-1496</f>
        <v>-94</v>
      </c>
      <c r="F18">
        <f>1578-1645</f>
        <v>-67</v>
      </c>
      <c r="G18">
        <f>1743-1812</f>
        <v>-69</v>
      </c>
      <c r="H18" s="6">
        <f>1914-1981</f>
        <v>-67</v>
      </c>
      <c r="I18" s="5">
        <f>1309-1390</f>
        <v>-81</v>
      </c>
      <c r="J18">
        <f>1487-1567</f>
        <v>-80</v>
      </c>
      <c r="K18">
        <f>1657-1735</f>
        <v>-78</v>
      </c>
      <c r="L18">
        <f>1820-1899</f>
        <v>-79</v>
      </c>
      <c r="M18" s="6">
        <f>1990-2071</f>
        <v>-81</v>
      </c>
    </row>
    <row r="19" spans="1:13" x14ac:dyDescent="0.35">
      <c r="A19" s="4">
        <v>17</v>
      </c>
      <c r="B19">
        <v>459</v>
      </c>
      <c r="C19">
        <v>1</v>
      </c>
      <c r="D19" s="5">
        <f>955-1020</f>
        <v>-65</v>
      </c>
      <c r="E19">
        <f>1110-1175</f>
        <v>-65</v>
      </c>
      <c r="F19">
        <f>1265-1328</f>
        <v>-63</v>
      </c>
      <c r="G19">
        <f>1419-1481</f>
        <v>-62</v>
      </c>
      <c r="H19" s="6">
        <f>1571-1634</f>
        <v>-63</v>
      </c>
      <c r="I19" s="5">
        <f>1028-1101</f>
        <v>-73</v>
      </c>
      <c r="J19">
        <f>1185-1257</f>
        <v>-72</v>
      </c>
      <c r="K19">
        <f>1334-1409</f>
        <v>-75</v>
      </c>
      <c r="L19">
        <f>1492-1565</f>
        <v>-73</v>
      </c>
      <c r="M19" s="6">
        <f>1640-1710</f>
        <v>-70</v>
      </c>
    </row>
    <row r="20" spans="1:13" x14ac:dyDescent="0.35">
      <c r="A20" s="4">
        <v>18</v>
      </c>
      <c r="B20">
        <v>459</v>
      </c>
      <c r="C20">
        <v>1</v>
      </c>
      <c r="D20" s="5">
        <f>1252-1325</f>
        <v>-73</v>
      </c>
      <c r="E20">
        <f>1452-1527</f>
        <v>-75</v>
      </c>
      <c r="F20">
        <f>1659-1736</f>
        <v>-77</v>
      </c>
      <c r="G20">
        <f>1860-1938</f>
        <v>-78</v>
      </c>
      <c r="H20" s="6">
        <f>2056-2132</f>
        <v>-76</v>
      </c>
      <c r="I20" s="5">
        <f>1344-1442</f>
        <v>-98</v>
      </c>
      <c r="J20">
        <f>1540-1640</f>
        <v>-100</v>
      </c>
      <c r="K20">
        <f>1743-1841</f>
        <v>-98</v>
      </c>
      <c r="L20">
        <f>1945-2042</f>
        <v>-97</v>
      </c>
      <c r="M20" s="6">
        <f>2143-2240</f>
        <v>-97</v>
      </c>
    </row>
    <row r="21" spans="1:13" x14ac:dyDescent="0.35">
      <c r="A21" s="4">
        <v>19</v>
      </c>
      <c r="B21">
        <v>459</v>
      </c>
      <c r="C21">
        <v>1</v>
      </c>
      <c r="D21" s="5">
        <f>1130-1238</f>
        <v>-108</v>
      </c>
      <c r="E21">
        <f>1383-1491</f>
        <v>-108</v>
      </c>
      <c r="F21">
        <f>1637-1743</f>
        <v>-106</v>
      </c>
      <c r="G21">
        <f>1903-2006</f>
        <v>-103</v>
      </c>
      <c r="H21" s="6">
        <f>2154-2260</f>
        <v>-106</v>
      </c>
      <c r="I21" s="5">
        <f>1248-1374</f>
        <v>-126</v>
      </c>
      <c r="J21">
        <f>1499-1622</f>
        <v>-123</v>
      </c>
      <c r="K21">
        <f>1757-1883</f>
        <v>-126</v>
      </c>
      <c r="L21">
        <f>2016-2147</f>
        <v>-131</v>
      </c>
      <c r="M21" s="6">
        <f>2273-2403</f>
        <v>-130</v>
      </c>
    </row>
    <row r="22" spans="1:13" x14ac:dyDescent="0.35">
      <c r="A22" s="7">
        <v>20</v>
      </c>
      <c r="B22" s="8">
        <v>459</v>
      </c>
      <c r="C22" s="8">
        <v>1</v>
      </c>
      <c r="D22" s="9">
        <f>933-1050</f>
        <v>-117</v>
      </c>
      <c r="E22" s="8">
        <f>1214-1330</f>
        <v>-116</v>
      </c>
      <c r="F22" s="8">
        <f>1504-1624</f>
        <v>-120</v>
      </c>
      <c r="G22" s="8">
        <f>1803-1919</f>
        <v>-116</v>
      </c>
      <c r="H22" s="10">
        <f>2098-2217</f>
        <v>-119</v>
      </c>
      <c r="I22" s="9">
        <f>1065-1214</f>
        <v>-149</v>
      </c>
      <c r="J22" s="8">
        <f>1340-1491</f>
        <v>-151</v>
      </c>
      <c r="K22" s="8">
        <f>1635-1786</f>
        <v>-151</v>
      </c>
      <c r="L22" s="8">
        <f>1933-2081</f>
        <v>-148</v>
      </c>
      <c r="M22" s="10">
        <f>2225-2381</f>
        <v>-156</v>
      </c>
    </row>
  </sheetData>
  <mergeCells count="4">
    <mergeCell ref="A1:A2"/>
    <mergeCell ref="B1:C1"/>
    <mergeCell ref="D1:H1"/>
    <mergeCell ref="I1:M1"/>
  </mergeCells>
  <pageMargins left="0" right="0" top="0.39409448818897636" bottom="0.39409448818897636" header="0" footer="0"/>
  <headerFooter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Rohdaten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herbon</dc:creator>
  <cp:lastModifiedBy>Fynn Dustert</cp:lastModifiedBy>
  <cp:revision>61</cp:revision>
  <dcterms:created xsi:type="dcterms:W3CDTF">2018-04-16T10:48:44Z</dcterms:created>
  <dcterms:modified xsi:type="dcterms:W3CDTF">2026-07-21T11:45:11Z</dcterms:modified>
</cp:coreProperties>
</file>